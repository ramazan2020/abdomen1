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l Özet" sheetId="1" state="visible" r:id="rId3"/>
    <sheet name="Eğitim - Sınıf Dağılımı" sheetId="2" state="visible" r:id="rId4"/>
    <sheet name="Yarışma - Sınıf Dağılımı" sheetId="3" state="visible" r:id="rId5"/>
    <sheet name="BB İstatistikleri" sheetId="4" state="visible" r:id="rId6"/>
    <sheet name="DICOM Akuizisyon" sheetId="5" state="visible" r:id="rId7"/>
    <sheet name="Set Örtüşmesi" sheetId="6" state="visible" r:id="rId8"/>
    <sheet name="Öneril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<sst xmlns="http://schemas.openxmlformats.org/spreadsheetml/2006/main" count="171" uniqueCount="88">
  <si>
    <t xml:space="preserve">Metrik</t>
  </si>
  <si>
    <t xml:space="preserve">Eğitim Seti</t>
  </si>
  <si>
    <t xml:space="preserve">Yarışma (Test) Seti</t>
  </si>
  <si>
    <t xml:space="preserve">Toplam</t>
  </si>
  <si>
    <t xml:space="preserve">Vaka (case) sayısı</t>
  </si>
  <si>
    <t xml:space="preserve">Unique Image Id (annotasyonlu)</t>
  </si>
  <si>
    <t xml:space="preserve">Toplam annotasyon satırı</t>
  </si>
  <si>
    <t xml:space="preserve">Bounding Box sayısı</t>
  </si>
  <si>
    <t xml:space="preserve">Boundary Slice sayısı</t>
  </si>
  <si>
    <t xml:space="preserve">Annotasyonlu kesit / vaka (ort)</t>
  </si>
  <si>
    <t xml:space="preserve">—</t>
  </si>
  <si>
    <t xml:space="preserve">Annotasyonlu kesit / vaka (medyan)</t>
  </si>
  <si>
    <t xml:space="preserve">Sınıf çeşitliliği</t>
  </si>
  <si>
    <t xml:space="preserve">Sınıf</t>
  </si>
  <si>
    <t xml:space="preserve">Annotasyon Sayısı</t>
  </si>
  <si>
    <t xml:space="preserve">Farklı Image Sayısı</t>
  </si>
  <si>
    <t xml:space="preserve">Farklı Vaka Sayısı</t>
  </si>
  <si>
    <t xml:space="preserve">Kategori</t>
  </si>
  <si>
    <t xml:space="preserve">Abdominal aortic aneurysm</t>
  </si>
  <si>
    <t xml:space="preserve">Patoloji (GT-box)</t>
  </si>
  <si>
    <t xml:space="preserve">Compatible with acute pancreatitis</t>
  </si>
  <si>
    <t xml:space="preserve">Compatible with acute cholecystitis</t>
  </si>
  <si>
    <t xml:space="preserve">Gallbladder stone</t>
  </si>
  <si>
    <t xml:space="preserve">Kidney stone</t>
  </si>
  <si>
    <t xml:space="preserve">Abdominal aortic dissection</t>
  </si>
  <si>
    <t xml:space="preserve">Abdominal Aorta</t>
  </si>
  <si>
    <t xml:space="preserve">Anatomik organ (Boundary)</t>
  </si>
  <si>
    <t xml:space="preserve">Kidney-Bladder</t>
  </si>
  <si>
    <t xml:space="preserve">Pancreas</t>
  </si>
  <si>
    <t xml:space="preserve">Gall bladder</t>
  </si>
  <si>
    <t xml:space="preserve">Colon</t>
  </si>
  <si>
    <t xml:space="preserve">appendix</t>
  </si>
  <si>
    <t xml:space="preserve">ureteral stone</t>
  </si>
  <si>
    <t xml:space="preserve">Compatible with acute appendicitis</t>
  </si>
  <si>
    <t xml:space="preserve">Calcified diverticulum</t>
  </si>
  <si>
    <t xml:space="preserve">Compatible with acute diverticulitis</t>
  </si>
  <si>
    <t xml:space="preserve">Set</t>
  </si>
  <si>
    <t xml:space="preserve">BB sayısı</t>
  </si>
  <si>
    <t xml:space="preserve">Medyan w (px)</t>
  </si>
  <si>
    <t xml:space="preserve">Medyan h (px)</t>
  </si>
  <si>
    <t xml:space="preserve">Medyan alan (px²)</t>
  </si>
  <si>
    <t xml:space="preserve">Ortalama alan (px²)</t>
  </si>
  <si>
    <t xml:space="preserve">Min alan</t>
  </si>
  <si>
    <t xml:space="preserve">Max alan</t>
  </si>
  <si>
    <t xml:space="preserve">Eğitim</t>
  </si>
  <si>
    <t xml:space="preserve">Yarışma</t>
  </si>
  <si>
    <t xml:space="preserve">Vaka sayısı</t>
  </si>
  <si>
    <t xml:space="preserve">Toplam DICOM kesit</t>
  </si>
  <si>
    <t xml:space="preserve">Kesit/vaka (medyan)</t>
  </si>
  <si>
    <t xml:space="preserve">Kesit/vaka (ort)</t>
  </si>
  <si>
    <t xml:space="preserve">Kesit/vaka (min)</t>
  </si>
  <si>
    <t xml:space="preserve">Kesit/vaka (max)</t>
  </si>
  <si>
    <t xml:space="preserve">Slice thickness medyan (mm)</t>
  </si>
  <si>
    <t xml:space="preserve">Slice thickness min (mm)</t>
  </si>
  <si>
    <t xml:space="preserve">Slice thickness max (mm)</t>
  </si>
  <si>
    <t xml:space="preserve">Piksel aralığı medyan (mm)</t>
  </si>
  <si>
    <t xml:space="preserve">Piksel aralığı min (mm)</t>
  </si>
  <si>
    <t xml:space="preserve">Piksel aralığı max (mm)</t>
  </si>
  <si>
    <t xml:space="preserve">En yaygın matris</t>
  </si>
  <si>
    <t xml:space="preserve">512x512</t>
  </si>
  <si>
    <t xml:space="preserve">Değer</t>
  </si>
  <si>
    <t xml:space="preserve">Eğitim vaka ID sayısı</t>
  </si>
  <si>
    <t xml:space="preserve">Yarışma vaka ID sayısı</t>
  </si>
  <si>
    <t xml:space="preserve">Ortak (overlap) vaka ID</t>
  </si>
  <si>
    <t xml:space="preserve">Yalnızca Eğitimde</t>
  </si>
  <si>
    <t xml:space="preserve">Yalnızca Yarışmada</t>
  </si>
  <si>
    <t xml:space="preserve">UYARI</t>
  </si>
  <si>
    <t xml:space="preserve">Vaka ID örtüşmesi yüksek – train/val ayırımı VAKA BAZLI (GroupKFold) yapılmalı.</t>
  </si>
  <si>
    <t xml:space="preserve">Konu</t>
  </si>
  <si>
    <t xml:space="preserve">Öneri</t>
  </si>
  <si>
    <t xml:space="preserve">Train/Val split</t>
  </si>
  <si>
    <t xml:space="preserve">Vaka bazlı GroupKFold (5-fold). Aynı vakanın kesitleri asla eğitim ve doğrulama setine birlikte girmemeli.</t>
  </si>
  <si>
    <t xml:space="preserve">Ön işleme - HU</t>
  </si>
  <si>
    <t xml:space="preserve">RescaleSlope/Intercept uygulanmalı. Abdomen için W=400, L=40 pencereleme önerilir; pankreas için W=150 L=30 ek olarak denenebilir.</t>
  </si>
  <si>
    <t xml:space="preserve">Ön işleme - spacing</t>
  </si>
  <si>
    <t xml:space="preserve">Piksel aralığı 0.5–1.0 mm, kesit kalınlığı 1–5 mm arası. 1 mm³ izotropik veya sabit (0.8×0.8×2.5 mm) yeniden örnekleme uygundur.</t>
  </si>
  <si>
    <t xml:space="preserve">Matris</t>
  </si>
  <si>
    <t xml:space="preserve">Çoğunluk 512×512; 768×768 veya farklı boyutlar resize ile hizalanmalı.</t>
  </si>
  <si>
    <t xml:space="preserve">Sınıf dengesizliği</t>
  </si>
  <si>
    <t xml:space="preserve">Ureteral stone, akut apandisit, divertikülit, diseksiyon gibi azınlık sınıflar için focal loss, class-balanced sampling, oversampling denenebilir.</t>
  </si>
  <si>
    <t xml:space="preserve">Tespit (detection)</t>
  </si>
  <si>
    <t xml:space="preserve">YOLOv8/nnDetection/RetinaNet uygundur. Yarışma metriği: F1 @ IoU eşikleri (0.1–0.5). En yüksek 5 F1 ortalaması.</t>
  </si>
  <si>
    <t xml:space="preserve">Segmentasyon</t>
  </si>
  <si>
    <t xml:space="preserve">6 anatomik organ için Boundary Slice mevcut (Aorta, Kolon, Böbrek-Mesane, Pankreas, Safra Kesesi, Apendiks). nnU-Net / Swin-UNETR uygun.</t>
  </si>
  <si>
    <t xml:space="preserve">Çok sınıflı (ML)</t>
  </si>
  <si>
    <t xml:space="preserve">Eğitimde 1481, testte 521 görüntü çok sınıflıdır. Multi-label head veya sınıf başına binary head uygulanabilir.</t>
  </si>
  <si>
    <t xml:space="preserve">Anonimleştirme</t>
  </si>
  <si>
    <t xml:space="preserve">DICOM başlıklarında PatientAge, PatientSex, StudyDescription alanları boş (anonimleştirilmiş) doğrulandı.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</si>
</sst>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735</v>
      </c>
      <c r="C2" s="3" t="n">
        <v>357</v>
      </c>
      <c r="D2" s="2" t="n">
        <f aca="false">B2+C2</f>
        <v>1092</v>
      </c>
    </row>
    <row r="3" customFormat="false" ht="15" hidden="false" customHeight="false" outlineLevel="0" collapsed="false">
      <c r="A3" s="2" t="s">
        <v>5</v>
      </c>
      <c r="B3" s="3" t="n">
        <v>25886</v>
      </c>
      <c r="C3" s="3" t="n">
        <v>13382</v>
      </c>
      <c r="D3" s="2" t="n">
        <f aca="false">B3+C3</f>
        <v>39268</v>
      </c>
    </row>
    <row r="4" customFormat="false" ht="15" hidden="false" customHeight="false" outlineLevel="0" collapsed="false">
      <c r="A4" s="2" t="s">
        <v>6</v>
      </c>
      <c r="B4" s="3" t="n">
        <v>28134</v>
      </c>
      <c r="C4" s="3" t="n">
        <v>14314</v>
      </c>
      <c r="D4" s="2" t="n">
        <f aca="false">B4+C4</f>
        <v>42448</v>
      </c>
    </row>
    <row r="5" customFormat="false" ht="15" hidden="false" customHeight="false" outlineLevel="0" collapsed="false">
      <c r="A5" s="2" t="s">
        <v>7</v>
      </c>
      <c r="B5" s="3" t="n">
        <v>24498</v>
      </c>
      <c r="C5" s="3" t="n">
        <v>10052</v>
      </c>
      <c r="D5" s="2" t="n">
        <f aca="false">B5+C5</f>
        <v>34550</v>
      </c>
    </row>
    <row r="6" customFormat="false" ht="15" hidden="false" customHeight="false" outlineLevel="0" collapsed="false">
      <c r="A6" s="2" t="s">
        <v>8</v>
      </c>
      <c r="B6" s="3" t="n">
        <v>3636</v>
      </c>
      <c r="C6" s="3" t="n">
        <v>4262</v>
      </c>
      <c r="D6" s="2" t="n">
        <f aca="false">B6+C6</f>
        <v>7898</v>
      </c>
    </row>
    <row r="7" customFormat="false" ht="15" hidden="false" customHeight="false" outlineLevel="0" collapsed="false">
      <c r="A7" s="2" t="s">
        <v>9</v>
      </c>
      <c r="B7" s="3" t="n">
        <v>35.2</v>
      </c>
      <c r="C7" s="3" t="n">
        <v>37.5</v>
      </c>
      <c r="D7" s="2" t="s">
        <v>10</v>
      </c>
    </row>
    <row r="8" customFormat="false" ht="15" hidden="false" customHeight="false" outlineLevel="0" collapsed="false">
      <c r="A8" s="2" t="s">
        <v>11</v>
      </c>
      <c r="B8" s="3" t="n">
        <v>19</v>
      </c>
      <c r="C8" s="3" t="n">
        <v>29</v>
      </c>
      <c r="D8" s="2" t="s">
        <v>10</v>
      </c>
    </row>
    <row r="9" customFormat="false" ht="15" hidden="false" customHeight="false" outlineLevel="0" collapsed="false">
      <c r="A9" s="2" t="s">
        <v>12</v>
      </c>
      <c r="B9" s="3" t="n">
        <v>16</v>
      </c>
      <c r="C9" s="3" t="n">
        <v>12</v>
      </c>
      <c r="D9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1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customFormat="false" ht="15" hidden="false" customHeight="false" outlineLevel="0" collapsed="false">
      <c r="A2" s="2" t="s">
        <v>18</v>
      </c>
      <c r="B2" s="3" t="n">
        <v>8983</v>
      </c>
      <c r="C2" s="3" t="n">
        <v>8972</v>
      </c>
      <c r="D2" s="3" t="n">
        <v>145</v>
      </c>
      <c r="E2" s="2" t="s">
        <v>19</v>
      </c>
    </row>
    <row r="3" customFormat="false" ht="15" hidden="false" customHeight="false" outlineLevel="0" collapsed="false">
      <c r="A3" s="2" t="s">
        <v>20</v>
      </c>
      <c r="B3" s="3" t="n">
        <v>7128</v>
      </c>
      <c r="C3" s="3" t="n">
        <v>6671</v>
      </c>
      <c r="D3" s="3" t="n">
        <v>146</v>
      </c>
      <c r="E3" s="2" t="s">
        <v>19</v>
      </c>
    </row>
    <row r="4" customFormat="false" ht="15" hidden="false" customHeight="false" outlineLevel="0" collapsed="false">
      <c r="A4" s="2" t="s">
        <v>21</v>
      </c>
      <c r="B4" s="3" t="n">
        <v>5159</v>
      </c>
      <c r="C4" s="3" t="n">
        <v>5087</v>
      </c>
      <c r="D4" s="3" t="n">
        <v>124</v>
      </c>
      <c r="E4" s="2" t="s">
        <v>19</v>
      </c>
    </row>
    <row r="5" customFormat="false" ht="15" hidden="false" customHeight="false" outlineLevel="0" collapsed="false">
      <c r="A5" s="2" t="s">
        <v>22</v>
      </c>
      <c r="B5" s="3" t="n">
        <v>1439</v>
      </c>
      <c r="C5" s="3" t="n">
        <v>1404</v>
      </c>
      <c r="D5" s="3" t="n">
        <v>113</v>
      </c>
      <c r="E5" s="2" t="s">
        <v>19</v>
      </c>
    </row>
    <row r="6" customFormat="false" ht="15" hidden="false" customHeight="false" outlineLevel="0" collapsed="false">
      <c r="A6" s="2" t="s">
        <v>23</v>
      </c>
      <c r="B6" s="3" t="n">
        <v>1149</v>
      </c>
      <c r="C6" s="3" t="n">
        <v>1036</v>
      </c>
      <c r="D6" s="3" t="n">
        <v>106</v>
      </c>
      <c r="E6" s="2" t="s">
        <v>19</v>
      </c>
    </row>
    <row r="7" customFormat="false" ht="15" hidden="false" customHeight="false" outlineLevel="0" collapsed="false">
      <c r="A7" s="2" t="s">
        <v>24</v>
      </c>
      <c r="B7" s="3" t="n">
        <v>806</v>
      </c>
      <c r="C7" s="3" t="n">
        <v>806</v>
      </c>
      <c r="D7" s="3" t="n">
        <v>15</v>
      </c>
      <c r="E7" s="2" t="s">
        <v>19</v>
      </c>
    </row>
    <row r="8" customFormat="false" ht="15" hidden="false" customHeight="false" outlineLevel="0" collapsed="false">
      <c r="A8" s="2" t="s">
        <v>25</v>
      </c>
      <c r="B8" s="3" t="n">
        <v>733</v>
      </c>
      <c r="C8" s="3" t="n">
        <v>732</v>
      </c>
      <c r="D8" s="3" t="n">
        <v>360</v>
      </c>
      <c r="E8" s="2" t="s">
        <v>26</v>
      </c>
    </row>
    <row r="9" customFormat="false" ht="15" hidden="false" customHeight="false" outlineLevel="0" collapsed="false">
      <c r="A9" s="2" t="s">
        <v>27</v>
      </c>
      <c r="B9" s="3" t="n">
        <v>608</v>
      </c>
      <c r="C9" s="3" t="n">
        <v>608</v>
      </c>
      <c r="D9" s="3" t="n">
        <v>305</v>
      </c>
      <c r="E9" s="2" t="s">
        <v>26</v>
      </c>
    </row>
    <row r="10" customFormat="false" ht="15" hidden="false" customHeight="false" outlineLevel="0" collapsed="false">
      <c r="A10" s="2" t="s">
        <v>28</v>
      </c>
      <c r="B10" s="3" t="n">
        <v>502</v>
      </c>
      <c r="C10" s="3" t="n">
        <v>502</v>
      </c>
      <c r="D10" s="3" t="n">
        <v>251</v>
      </c>
      <c r="E10" s="2" t="s">
        <v>26</v>
      </c>
    </row>
    <row r="11" customFormat="false" ht="15" hidden="false" customHeight="false" outlineLevel="0" collapsed="false">
      <c r="A11" s="2" t="s">
        <v>29</v>
      </c>
      <c r="B11" s="3" t="n">
        <v>439</v>
      </c>
      <c r="C11" s="3" t="n">
        <v>439</v>
      </c>
      <c r="D11" s="3" t="n">
        <v>220</v>
      </c>
      <c r="E11" s="2" t="s">
        <v>26</v>
      </c>
    </row>
    <row r="12" customFormat="false" ht="15" hidden="false" customHeight="false" outlineLevel="0" collapsed="false">
      <c r="A12" s="2" t="s">
        <v>30</v>
      </c>
      <c r="B12" s="3" t="n">
        <v>411</v>
      </c>
      <c r="C12" s="3" t="n">
        <v>411</v>
      </c>
      <c r="D12" s="3" t="n">
        <v>205</v>
      </c>
      <c r="E12" s="2" t="s">
        <v>26</v>
      </c>
    </row>
    <row r="13" customFormat="false" ht="15" hidden="false" customHeight="false" outlineLevel="0" collapsed="false">
      <c r="A13" s="2" t="s">
        <v>31</v>
      </c>
      <c r="B13" s="3" t="n">
        <v>338</v>
      </c>
      <c r="C13" s="3" t="n">
        <v>338</v>
      </c>
      <c r="D13" s="3" t="n">
        <v>169</v>
      </c>
      <c r="E13" s="2" t="s">
        <v>26</v>
      </c>
    </row>
    <row r="14" customFormat="false" ht="15" hidden="false" customHeight="false" outlineLevel="0" collapsed="false">
      <c r="A14" s="2" t="s">
        <v>32</v>
      </c>
      <c r="B14" s="3" t="n">
        <v>321</v>
      </c>
      <c r="C14" s="3" t="n">
        <v>320</v>
      </c>
      <c r="D14" s="3" t="n">
        <v>58</v>
      </c>
      <c r="E14" s="2" t="s">
        <v>19</v>
      </c>
    </row>
    <row r="15" customFormat="false" ht="15" hidden="false" customHeight="false" outlineLevel="0" collapsed="false">
      <c r="A15" s="2" t="s">
        <v>33</v>
      </c>
      <c r="B15" s="3" t="n">
        <v>60</v>
      </c>
      <c r="C15" s="3" t="n">
        <v>59</v>
      </c>
      <c r="D15" s="3" t="n">
        <v>4</v>
      </c>
      <c r="E15" s="2" t="s">
        <v>19</v>
      </c>
    </row>
    <row r="16" customFormat="false" ht="15" hidden="false" customHeight="false" outlineLevel="0" collapsed="false">
      <c r="A16" s="2" t="s">
        <v>34</v>
      </c>
      <c r="B16" s="3" t="n">
        <v>38</v>
      </c>
      <c r="C16" s="3" t="n">
        <v>38</v>
      </c>
      <c r="D16" s="3" t="n">
        <v>5</v>
      </c>
      <c r="E16" s="2" t="s">
        <v>19</v>
      </c>
    </row>
    <row r="17" customFormat="false" ht="15" hidden="false" customHeight="false" outlineLevel="0" collapsed="false">
      <c r="A17" s="2" t="s">
        <v>35</v>
      </c>
      <c r="B17" s="3" t="n">
        <v>20</v>
      </c>
      <c r="C17" s="3" t="n">
        <v>19</v>
      </c>
      <c r="D17" s="3" t="n">
        <v>1</v>
      </c>
      <c r="E17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1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customFormat="false" ht="15" hidden="false" customHeight="false" outlineLevel="0" collapsed="false">
      <c r="A2" s="2" t="s">
        <v>18</v>
      </c>
      <c r="B2" s="3" t="n">
        <v>2875</v>
      </c>
      <c r="C2" s="3" t="n">
        <v>2874</v>
      </c>
      <c r="D2" s="3" t="n">
        <v>49</v>
      </c>
      <c r="E2" s="2" t="s">
        <v>19</v>
      </c>
    </row>
    <row r="3" customFormat="false" ht="15" hidden="false" customHeight="false" outlineLevel="0" collapsed="false">
      <c r="A3" s="2" t="s">
        <v>20</v>
      </c>
      <c r="B3" s="3" t="n">
        <v>2335</v>
      </c>
      <c r="C3" s="3" t="n">
        <v>2173</v>
      </c>
      <c r="D3" s="3" t="n">
        <v>48</v>
      </c>
      <c r="E3" s="2" t="s">
        <v>19</v>
      </c>
    </row>
    <row r="4" customFormat="false" ht="15" hidden="false" customHeight="false" outlineLevel="0" collapsed="false">
      <c r="A4" s="2" t="s">
        <v>33</v>
      </c>
      <c r="B4" s="3" t="n">
        <v>2229</v>
      </c>
      <c r="C4" s="3" t="n">
        <v>2051</v>
      </c>
      <c r="D4" s="3" t="n">
        <v>83</v>
      </c>
      <c r="E4" s="2" t="s">
        <v>19</v>
      </c>
    </row>
    <row r="5" customFormat="false" ht="15" hidden="false" customHeight="false" outlineLevel="0" collapsed="false">
      <c r="A5" s="2" t="s">
        <v>21</v>
      </c>
      <c r="B5" s="3" t="n">
        <v>1262</v>
      </c>
      <c r="C5" s="3" t="n">
        <v>1260</v>
      </c>
      <c r="D5" s="3" t="n">
        <v>34</v>
      </c>
      <c r="E5" s="2" t="s">
        <v>19</v>
      </c>
    </row>
    <row r="6" customFormat="false" ht="15" hidden="false" customHeight="false" outlineLevel="0" collapsed="false">
      <c r="A6" s="2" t="s">
        <v>23</v>
      </c>
      <c r="B6" s="3" t="n">
        <v>1029</v>
      </c>
      <c r="C6" s="3" t="n">
        <v>975</v>
      </c>
      <c r="D6" s="3" t="n">
        <v>97</v>
      </c>
      <c r="E6" s="2" t="s">
        <v>19</v>
      </c>
    </row>
    <row r="7" customFormat="false" ht="15" hidden="false" customHeight="false" outlineLevel="0" collapsed="false">
      <c r="A7" s="2" t="s">
        <v>30</v>
      </c>
      <c r="B7" s="3" t="n">
        <v>714</v>
      </c>
      <c r="C7" s="3" t="n">
        <v>714</v>
      </c>
      <c r="D7" s="3" t="n">
        <v>357</v>
      </c>
      <c r="E7" s="2" t="s">
        <v>26</v>
      </c>
    </row>
    <row r="8" customFormat="false" ht="15" hidden="false" customHeight="false" outlineLevel="0" collapsed="false">
      <c r="A8" s="2" t="s">
        <v>27</v>
      </c>
      <c r="B8" s="3" t="n">
        <v>714</v>
      </c>
      <c r="C8" s="3" t="n">
        <v>714</v>
      </c>
      <c r="D8" s="3" t="n">
        <v>357</v>
      </c>
      <c r="E8" s="2" t="s">
        <v>26</v>
      </c>
    </row>
    <row r="9" customFormat="false" ht="15" hidden="false" customHeight="false" outlineLevel="0" collapsed="false">
      <c r="A9" s="2" t="s">
        <v>25</v>
      </c>
      <c r="B9" s="3" t="n">
        <v>710</v>
      </c>
      <c r="C9" s="3" t="n">
        <v>710</v>
      </c>
      <c r="D9" s="3" t="n">
        <v>355</v>
      </c>
      <c r="E9" s="2" t="s">
        <v>26</v>
      </c>
    </row>
    <row r="10" customFormat="false" ht="15" hidden="false" customHeight="false" outlineLevel="0" collapsed="false">
      <c r="A10" s="2" t="s">
        <v>28</v>
      </c>
      <c r="B10" s="3" t="n">
        <v>708</v>
      </c>
      <c r="C10" s="3" t="n">
        <v>708</v>
      </c>
      <c r="D10" s="3" t="n">
        <v>354</v>
      </c>
      <c r="E10" s="2" t="s">
        <v>26</v>
      </c>
    </row>
    <row r="11" customFormat="false" ht="15" hidden="false" customHeight="false" outlineLevel="0" collapsed="false">
      <c r="A11" s="2" t="s">
        <v>29</v>
      </c>
      <c r="B11" s="3" t="n">
        <v>708</v>
      </c>
      <c r="C11" s="3" t="n">
        <v>708</v>
      </c>
      <c r="D11" s="3" t="n">
        <v>354</v>
      </c>
      <c r="E11" s="2" t="s">
        <v>26</v>
      </c>
    </row>
    <row r="12" customFormat="false" ht="15" hidden="false" customHeight="false" outlineLevel="0" collapsed="false">
      <c r="A12" s="2" t="s">
        <v>31</v>
      </c>
      <c r="B12" s="3" t="n">
        <v>708</v>
      </c>
      <c r="C12" s="3" t="n">
        <v>708</v>
      </c>
      <c r="D12" s="3" t="n">
        <v>354</v>
      </c>
      <c r="E12" s="2" t="s">
        <v>26</v>
      </c>
    </row>
    <row r="13" customFormat="false" ht="15" hidden="false" customHeight="false" outlineLevel="0" collapsed="false">
      <c r="A13" s="2" t="s">
        <v>35</v>
      </c>
      <c r="B13" s="3" t="n">
        <v>322</v>
      </c>
      <c r="C13" s="3" t="n">
        <v>319</v>
      </c>
      <c r="D13" s="3" t="n">
        <v>16</v>
      </c>
      <c r="E13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9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1" t="s">
        <v>36</v>
      </c>
      <c r="B1" s="1" t="s">
        <v>13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customFormat="false" ht="15" hidden="false" customHeight="false" outlineLevel="0" collapsed="false">
      <c r="A2" s="2" t="s">
        <v>44</v>
      </c>
      <c r="B2" s="2" t="s">
        <v>25</v>
      </c>
      <c r="C2" s="3" t="n">
        <v>14</v>
      </c>
      <c r="D2" s="3" t="n">
        <v>58</v>
      </c>
      <c r="E2" s="3" t="n">
        <v>58</v>
      </c>
      <c r="F2" s="3" t="n">
        <v>3364</v>
      </c>
      <c r="G2" s="3" t="n">
        <v>3364</v>
      </c>
      <c r="H2" s="3" t="n">
        <v>3364</v>
      </c>
      <c r="I2" s="3" t="n">
        <v>3364</v>
      </c>
    </row>
    <row r="3" customFormat="false" ht="15" hidden="false" customHeight="false" outlineLevel="0" collapsed="false">
      <c r="A3" s="2" t="s">
        <v>44</v>
      </c>
      <c r="B3" s="2" t="s">
        <v>18</v>
      </c>
      <c r="C3" s="3" t="n">
        <v>8977</v>
      </c>
      <c r="D3" s="3" t="n">
        <v>82</v>
      </c>
      <c r="E3" s="3" t="n">
        <v>79</v>
      </c>
      <c r="F3" s="3" t="n">
        <v>6545</v>
      </c>
      <c r="G3" s="3" t="n">
        <v>7835.5</v>
      </c>
      <c r="H3" s="3" t="n">
        <v>0</v>
      </c>
      <c r="I3" s="3" t="n">
        <v>24016</v>
      </c>
    </row>
    <row r="4" customFormat="false" ht="15" hidden="false" customHeight="false" outlineLevel="0" collapsed="false">
      <c r="A4" s="2" t="s">
        <v>44</v>
      </c>
      <c r="B4" s="2" t="s">
        <v>24</v>
      </c>
      <c r="C4" s="3" t="n">
        <v>806</v>
      </c>
      <c r="D4" s="3" t="n">
        <v>32</v>
      </c>
      <c r="E4" s="3" t="n">
        <v>33</v>
      </c>
      <c r="F4" s="3" t="n">
        <v>1120</v>
      </c>
      <c r="G4" s="3" t="n">
        <v>1189</v>
      </c>
      <c r="H4" s="3" t="n">
        <v>210</v>
      </c>
      <c r="I4" s="3" t="n">
        <v>3948</v>
      </c>
    </row>
    <row r="5" customFormat="false" ht="15" hidden="false" customHeight="false" outlineLevel="0" collapsed="false">
      <c r="A5" s="2" t="s">
        <v>44</v>
      </c>
      <c r="B5" s="2" t="s">
        <v>34</v>
      </c>
      <c r="C5" s="3" t="n">
        <v>36</v>
      </c>
      <c r="D5" s="3" t="n">
        <v>13</v>
      </c>
      <c r="E5" s="3" t="n">
        <v>11</v>
      </c>
      <c r="F5" s="3" t="n">
        <v>143</v>
      </c>
      <c r="G5" s="3" t="n">
        <v>170.7</v>
      </c>
      <c r="H5" s="3" t="n">
        <v>36</v>
      </c>
      <c r="I5" s="3" t="n">
        <v>378</v>
      </c>
    </row>
    <row r="6" customFormat="false" ht="15" hidden="false" customHeight="false" outlineLevel="0" collapsed="false">
      <c r="A6" s="2" t="s">
        <v>44</v>
      </c>
      <c r="B6" s="2" t="s">
        <v>33</v>
      </c>
      <c r="C6" s="3" t="n">
        <v>54</v>
      </c>
      <c r="D6" s="3" t="n">
        <v>33</v>
      </c>
      <c r="E6" s="3" t="n">
        <v>25</v>
      </c>
      <c r="F6" s="3" t="n">
        <v>742</v>
      </c>
      <c r="G6" s="3" t="n">
        <v>910.3</v>
      </c>
      <c r="H6" s="3" t="n">
        <v>196</v>
      </c>
      <c r="I6" s="3" t="n">
        <v>6666</v>
      </c>
    </row>
    <row r="7" customFormat="false" ht="15" hidden="false" customHeight="false" outlineLevel="0" collapsed="false">
      <c r="A7" s="2" t="s">
        <v>44</v>
      </c>
      <c r="B7" s="2" t="s">
        <v>21</v>
      </c>
      <c r="C7" s="3" t="n">
        <v>4925</v>
      </c>
      <c r="D7" s="3" t="n">
        <v>57</v>
      </c>
      <c r="E7" s="3" t="n">
        <v>63</v>
      </c>
      <c r="F7" s="3" t="n">
        <v>3588</v>
      </c>
      <c r="G7" s="3" t="n">
        <v>4233.2</v>
      </c>
      <c r="H7" s="3" t="n">
        <v>63</v>
      </c>
      <c r="I7" s="3" t="n">
        <v>19140</v>
      </c>
    </row>
    <row r="8" customFormat="false" ht="15" hidden="false" customHeight="false" outlineLevel="0" collapsed="false">
      <c r="A8" s="2" t="s">
        <v>44</v>
      </c>
      <c r="B8" s="2" t="s">
        <v>35</v>
      </c>
      <c r="C8" s="3" t="n">
        <v>18</v>
      </c>
      <c r="D8" s="3" t="n">
        <v>31</v>
      </c>
      <c r="E8" s="3" t="n">
        <v>42</v>
      </c>
      <c r="F8" s="3" t="n">
        <v>1326</v>
      </c>
      <c r="G8" s="3" t="n">
        <v>1177.9</v>
      </c>
      <c r="H8" s="3" t="n">
        <v>460</v>
      </c>
      <c r="I8" s="3" t="n">
        <v>1716</v>
      </c>
    </row>
    <row r="9" customFormat="false" ht="15" hidden="false" customHeight="false" outlineLevel="0" collapsed="false">
      <c r="A9" s="2" t="s">
        <v>44</v>
      </c>
      <c r="B9" s="2" t="s">
        <v>20</v>
      </c>
      <c r="C9" s="3" t="n">
        <v>6923</v>
      </c>
      <c r="D9" s="3" t="n">
        <v>79</v>
      </c>
      <c r="E9" s="3" t="n">
        <v>67</v>
      </c>
      <c r="F9" s="3" t="n">
        <v>5292</v>
      </c>
      <c r="G9" s="3" t="n">
        <v>7721.1</v>
      </c>
      <c r="H9" s="3" t="n">
        <v>0</v>
      </c>
      <c r="I9" s="3" t="n">
        <v>47460</v>
      </c>
    </row>
    <row r="10" customFormat="false" ht="15" hidden="false" customHeight="false" outlineLevel="0" collapsed="false">
      <c r="A10" s="2" t="s">
        <v>44</v>
      </c>
      <c r="B10" s="2" t="s">
        <v>22</v>
      </c>
      <c r="C10" s="3" t="n">
        <v>1340</v>
      </c>
      <c r="D10" s="3" t="n">
        <v>25</v>
      </c>
      <c r="E10" s="3" t="n">
        <v>22</v>
      </c>
      <c r="F10" s="3" t="n">
        <v>552</v>
      </c>
      <c r="G10" s="3" t="n">
        <v>702.4</v>
      </c>
      <c r="H10" s="3" t="n">
        <v>16</v>
      </c>
      <c r="I10" s="3" t="n">
        <v>4278</v>
      </c>
    </row>
    <row r="11" customFormat="false" ht="15" hidden="false" customHeight="false" outlineLevel="0" collapsed="false">
      <c r="A11" s="2" t="s">
        <v>44</v>
      </c>
      <c r="B11" s="2" t="s">
        <v>23</v>
      </c>
      <c r="C11" s="3" t="n">
        <v>1114</v>
      </c>
      <c r="D11" s="3" t="n">
        <v>12</v>
      </c>
      <c r="E11" s="3" t="n">
        <v>12</v>
      </c>
      <c r="F11" s="3" t="n">
        <v>147</v>
      </c>
      <c r="G11" s="3" t="n">
        <v>376.5</v>
      </c>
      <c r="H11" s="3" t="n">
        <v>4</v>
      </c>
      <c r="I11" s="3" t="n">
        <v>4278</v>
      </c>
    </row>
    <row r="12" customFormat="false" ht="15" hidden="false" customHeight="false" outlineLevel="0" collapsed="false">
      <c r="A12" s="2" t="s">
        <v>44</v>
      </c>
      <c r="B12" s="2" t="s">
        <v>32</v>
      </c>
      <c r="C12" s="3" t="n">
        <v>291</v>
      </c>
      <c r="D12" s="3" t="n">
        <v>9</v>
      </c>
      <c r="E12" s="3" t="n">
        <v>10</v>
      </c>
      <c r="F12" s="3" t="n">
        <v>96</v>
      </c>
      <c r="G12" s="3" t="n">
        <v>109.9</v>
      </c>
      <c r="H12" s="3" t="n">
        <v>5</v>
      </c>
      <c r="I12" s="3" t="n">
        <v>368</v>
      </c>
    </row>
    <row r="13" customFormat="false" ht="15" hidden="false" customHeight="false" outlineLevel="0" collapsed="false">
      <c r="A13" s="2" t="s">
        <v>45</v>
      </c>
      <c r="B13" s="2" t="s">
        <v>18</v>
      </c>
      <c r="C13" s="3" t="n">
        <v>2875</v>
      </c>
      <c r="D13" s="3" t="n">
        <v>82</v>
      </c>
      <c r="E13" s="3" t="n">
        <v>79</v>
      </c>
      <c r="F13" s="3" t="n">
        <v>6318</v>
      </c>
      <c r="G13" s="3" t="n">
        <v>7391.4</v>
      </c>
      <c r="H13" s="3" t="n">
        <v>253</v>
      </c>
      <c r="I13" s="3" t="n">
        <v>24480</v>
      </c>
    </row>
    <row r="14" customFormat="false" ht="15" hidden="false" customHeight="false" outlineLevel="0" collapsed="false">
      <c r="A14" s="2" t="s">
        <v>45</v>
      </c>
      <c r="B14" s="2" t="s">
        <v>33</v>
      </c>
      <c r="C14" s="3" t="n">
        <v>2229</v>
      </c>
      <c r="D14" s="3" t="n">
        <v>22</v>
      </c>
      <c r="E14" s="3" t="n">
        <v>21</v>
      </c>
      <c r="F14" s="3" t="n">
        <v>480</v>
      </c>
      <c r="G14" s="3" t="n">
        <v>642</v>
      </c>
      <c r="H14" s="3" t="n">
        <v>63</v>
      </c>
      <c r="I14" s="3" t="n">
        <v>4307</v>
      </c>
    </row>
    <row r="15" customFormat="false" ht="15" hidden="false" customHeight="false" outlineLevel="0" collapsed="false">
      <c r="A15" s="2" t="s">
        <v>45</v>
      </c>
      <c r="B15" s="2" t="s">
        <v>21</v>
      </c>
      <c r="C15" s="3" t="n">
        <v>1262</v>
      </c>
      <c r="D15" s="3" t="n">
        <v>64</v>
      </c>
      <c r="E15" s="3" t="n">
        <v>71</v>
      </c>
      <c r="F15" s="3" t="n">
        <v>4964</v>
      </c>
      <c r="G15" s="3" t="n">
        <v>5357.1</v>
      </c>
      <c r="H15" s="3" t="n">
        <v>90</v>
      </c>
      <c r="I15" s="3" t="n">
        <v>28215</v>
      </c>
    </row>
    <row r="16" customFormat="false" ht="15" hidden="false" customHeight="false" outlineLevel="0" collapsed="false">
      <c r="A16" s="2" t="s">
        <v>45</v>
      </c>
      <c r="B16" s="2" t="s">
        <v>35</v>
      </c>
      <c r="C16" s="3" t="n">
        <v>322</v>
      </c>
      <c r="D16" s="3" t="n">
        <v>39</v>
      </c>
      <c r="E16" s="3" t="n">
        <v>35</v>
      </c>
      <c r="F16" s="3" t="n">
        <v>1672</v>
      </c>
      <c r="G16" s="3" t="n">
        <v>2817</v>
      </c>
      <c r="H16" s="3" t="n">
        <v>208</v>
      </c>
      <c r="I16" s="3" t="n">
        <v>10300</v>
      </c>
    </row>
    <row r="17" customFormat="false" ht="15" hidden="false" customHeight="false" outlineLevel="0" collapsed="false">
      <c r="A17" s="2" t="s">
        <v>45</v>
      </c>
      <c r="B17" s="2" t="s">
        <v>20</v>
      </c>
      <c r="C17" s="3" t="n">
        <v>2335</v>
      </c>
      <c r="D17" s="3" t="n">
        <v>84</v>
      </c>
      <c r="E17" s="3" t="n">
        <v>61</v>
      </c>
      <c r="F17" s="3" t="n">
        <v>5254</v>
      </c>
      <c r="G17" s="3" t="n">
        <v>7163.8</v>
      </c>
      <c r="H17" s="3" t="n">
        <v>143</v>
      </c>
      <c r="I17" s="3" t="n">
        <v>34650</v>
      </c>
    </row>
    <row r="18" customFormat="false" ht="15" hidden="false" customHeight="false" outlineLevel="0" collapsed="false">
      <c r="A18" s="2" t="s">
        <v>45</v>
      </c>
      <c r="B18" s="2" t="s">
        <v>23</v>
      </c>
      <c r="C18" s="3" t="n">
        <v>1029</v>
      </c>
      <c r="D18" s="3" t="n">
        <v>12</v>
      </c>
      <c r="E18" s="3" t="n">
        <v>12</v>
      </c>
      <c r="F18" s="3" t="n">
        <v>150</v>
      </c>
      <c r="G18" s="3" t="n">
        <v>211</v>
      </c>
      <c r="H18" s="3" t="n">
        <v>12</v>
      </c>
      <c r="I18" s="3" t="n">
        <v>1376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1" t="s">
        <v>0</v>
      </c>
      <c r="B1" s="1" t="s">
        <v>44</v>
      </c>
      <c r="C1" s="1" t="s">
        <v>45</v>
      </c>
    </row>
    <row r="2" customFormat="false" ht="15" hidden="false" customHeight="false" outlineLevel="0" collapsed="false">
      <c r="A2" s="2" t="s">
        <v>46</v>
      </c>
      <c r="B2" s="3" t="n">
        <v>736</v>
      </c>
      <c r="C2" s="3" t="n">
        <v>359</v>
      </c>
    </row>
    <row r="3" customFormat="false" ht="15" hidden="false" customHeight="false" outlineLevel="0" collapsed="false">
      <c r="A3" s="2" t="s">
        <v>47</v>
      </c>
      <c r="B3" s="3" t="n">
        <v>223795</v>
      </c>
      <c r="C3" s="3" t="n">
        <v>113776</v>
      </c>
    </row>
    <row r="4" customFormat="false" ht="15" hidden="false" customHeight="false" outlineLevel="0" collapsed="false">
      <c r="A4" s="2" t="s">
        <v>48</v>
      </c>
      <c r="B4" s="3" t="n">
        <v>218</v>
      </c>
      <c r="C4" s="3" t="n">
        <v>257</v>
      </c>
    </row>
    <row r="5" customFormat="false" ht="15" hidden="false" customHeight="false" outlineLevel="0" collapsed="false">
      <c r="A5" s="2" t="s">
        <v>49</v>
      </c>
      <c r="B5" s="3" t="n">
        <v>304.1</v>
      </c>
      <c r="C5" s="3" t="n">
        <v>316.9</v>
      </c>
    </row>
    <row r="6" customFormat="false" ht="15" hidden="false" customHeight="false" outlineLevel="0" collapsed="false">
      <c r="A6" s="2" t="s">
        <v>50</v>
      </c>
      <c r="B6" s="3" t="n">
        <v>19</v>
      </c>
      <c r="C6" s="3" t="n">
        <v>51</v>
      </c>
    </row>
    <row r="7" customFormat="false" ht="15" hidden="false" customHeight="false" outlineLevel="0" collapsed="false">
      <c r="A7" s="2" t="s">
        <v>51</v>
      </c>
      <c r="B7" s="3" t="n">
        <v>2378</v>
      </c>
      <c r="C7" s="3" t="n">
        <v>2051</v>
      </c>
    </row>
    <row r="8" customFormat="false" ht="15" hidden="false" customHeight="false" outlineLevel="0" collapsed="false">
      <c r="A8" s="2" t="s">
        <v>52</v>
      </c>
      <c r="B8" s="3" t="n">
        <v>2.5</v>
      </c>
      <c r="C8" s="3" t="n">
        <v>2</v>
      </c>
    </row>
    <row r="9" customFormat="false" ht="15" hidden="false" customHeight="false" outlineLevel="0" collapsed="false">
      <c r="A9" s="2" t="s">
        <v>53</v>
      </c>
      <c r="B9" s="3" t="n">
        <v>0.5</v>
      </c>
      <c r="C9" s="3" t="n">
        <v>0.5</v>
      </c>
    </row>
    <row r="10" customFormat="false" ht="15" hidden="false" customHeight="false" outlineLevel="0" collapsed="false">
      <c r="A10" s="2" t="s">
        <v>54</v>
      </c>
      <c r="B10" s="3" t="n">
        <v>10</v>
      </c>
      <c r="C10" s="3" t="n">
        <v>8</v>
      </c>
    </row>
    <row r="11" customFormat="false" ht="15" hidden="false" customHeight="false" outlineLevel="0" collapsed="false">
      <c r="A11" s="2" t="s">
        <v>55</v>
      </c>
      <c r="B11" s="3" t="n">
        <v>0.84</v>
      </c>
      <c r="C11" s="3" t="n">
        <v>0.84</v>
      </c>
    </row>
    <row r="12" customFormat="false" ht="15" hidden="false" customHeight="false" outlineLevel="0" collapsed="false">
      <c r="A12" s="2" t="s">
        <v>56</v>
      </c>
      <c r="B12" s="3" t="n">
        <v>0.42</v>
      </c>
      <c r="C12" s="3" t="n">
        <v>0.521</v>
      </c>
    </row>
    <row r="13" customFormat="false" ht="15" hidden="false" customHeight="false" outlineLevel="0" collapsed="false">
      <c r="A13" s="2" t="s">
        <v>57</v>
      </c>
      <c r="B13" s="3" t="n">
        <v>1.263</v>
      </c>
      <c r="C13" s="3" t="n">
        <v>1.171</v>
      </c>
    </row>
    <row r="14" customFormat="false" ht="15" hidden="false" customHeight="false" outlineLevel="0" collapsed="false">
      <c r="A14" s="2" t="s">
        <v>58</v>
      </c>
      <c r="B14" s="2" t="s">
        <v>59</v>
      </c>
      <c r="C14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" t="s">
        <v>0</v>
      </c>
      <c r="B1" s="1" t="s">
        <v>60</v>
      </c>
    </row>
    <row r="2" customFormat="false" ht="15" hidden="false" customHeight="false" outlineLevel="0" collapsed="false">
      <c r="A2" s="2" t="s">
        <v>61</v>
      </c>
      <c r="B2" s="3" t="n">
        <v>735</v>
      </c>
    </row>
    <row r="3" customFormat="false" ht="15" hidden="false" customHeight="false" outlineLevel="0" collapsed="false">
      <c r="A3" s="2" t="s">
        <v>62</v>
      </c>
      <c r="B3" s="3" t="n">
        <v>357</v>
      </c>
    </row>
    <row r="4" customFormat="false" ht="15" hidden="false" customHeight="false" outlineLevel="0" collapsed="false">
      <c r="A4" s="2" t="s">
        <v>63</v>
      </c>
      <c r="B4" s="3" t="n">
        <v>356</v>
      </c>
    </row>
    <row r="5" customFormat="false" ht="15" hidden="false" customHeight="false" outlineLevel="0" collapsed="false">
      <c r="A5" s="2" t="s">
        <v>64</v>
      </c>
      <c r="B5" s="3" t="n">
        <v>379</v>
      </c>
    </row>
    <row r="6" customFormat="false" ht="15" hidden="false" customHeight="false" outlineLevel="0" collapsed="false">
      <c r="A6" s="2" t="s">
        <v>65</v>
      </c>
      <c r="B6" s="3" t="n">
        <v>1</v>
      </c>
    </row>
    <row r="7" customFormat="false" ht="23.85" hidden="false" customHeight="false" outlineLevel="0" collapsed="false">
      <c r="A7" s="2" t="s">
        <v>66</v>
      </c>
      <c r="B7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" t="s">
        <v>68</v>
      </c>
      <c r="B1" s="1" t="s">
        <v>69</v>
      </c>
    </row>
    <row r="2" customFormat="false" ht="23.85" hidden="false" customHeight="false" outlineLevel="0" collapsed="false">
      <c r="A2" s="2" t="s">
        <v>70</v>
      </c>
      <c r="B2" s="2" t="s">
        <v>71</v>
      </c>
    </row>
    <row r="3" customFormat="false" ht="23.85" hidden="false" customHeight="false" outlineLevel="0" collapsed="false">
      <c r="A3" s="2" t="s">
        <v>72</v>
      </c>
      <c r="B3" s="2" t="s">
        <v>73</v>
      </c>
    </row>
    <row r="4" customFormat="false" ht="23.85" hidden="false" customHeight="false" outlineLevel="0" collapsed="false">
      <c r="A4" s="2" t="s">
        <v>74</v>
      </c>
      <c r="B4" s="2" t="s">
        <v>75</v>
      </c>
    </row>
    <row r="5" customFormat="false" ht="15" hidden="false" customHeight="false" outlineLevel="0" collapsed="false">
      <c r="A5" s="2" t="s">
        <v>76</v>
      </c>
      <c r="B5" s="2" t="s">
        <v>77</v>
      </c>
    </row>
    <row r="6" customFormat="false" ht="23.85" hidden="false" customHeight="false" outlineLevel="0" collapsed="false">
      <c r="A6" s="2" t="s">
        <v>78</v>
      </c>
      <c r="B6" s="2" t="s">
        <v>79</v>
      </c>
    </row>
    <row r="7" customFormat="false" ht="23.85" hidden="false" customHeight="false" outlineLevel="0" collapsed="false">
      <c r="A7" s="2" t="s">
        <v>80</v>
      </c>
      <c r="B7" s="2" t="s">
        <v>81</v>
      </c>
    </row>
    <row r="8" customFormat="false" ht="35.05" hidden="false" customHeight="false" outlineLevel="0" collapsed="false">
      <c r="A8" s="2" t="s">
        <v>82</v>
      </c>
      <c r="B8" s="2" t="s">
        <v>83</v>
      </c>
    </row>
    <row r="9" customFormat="false" ht="23.85" hidden="false" customHeight="false" outlineLevel="0" collapsed="false">
      <c r="A9" s="2" t="s">
        <v>84</v>
      </c>
      <c r="B9" s="2" t="s">
        <v>85</v>
      </c>
    </row>
    <row r="10" customFormat="false" ht="23.85" hidden="false" customHeight="false" outlineLevel="0" collapsed="false">
      <c r="A10" s="2" t="s">
        <v>86</v>
      </c>
      <c r="B10" s="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2026-04-17T06:39:00Z</dcterms:created>
  <dc:creator>openpyxl</dc:creator>
  <dc:description/>
  <dc:language>en-US</dc:language>
  <cp:lastModifiedBy/>
  <dcterms:modified xsi:type="dcterms:W3CDTF">2026-04-17T06:39:00Z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